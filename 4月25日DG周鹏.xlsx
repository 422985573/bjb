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<sst xmlns="http://schemas.openxmlformats.org/spreadsheetml/2006/main" count="70" uniqueCount="54">
  <si>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中海豹国际</t>
  </si>
  <si>
    <t>报价单</t>
  </si>
  <si>
    <t>客户ID编码：</t>
  </si>
  <si>
    <t>周鹏</t>
  </si>
  <si>
    <t>报价日期：</t>
  </si>
  <si>
    <t>客户地址：</t>
  </si>
  <si>
    <t>公司地址：深圳市宝安区福永街道翠岗西路怀德国际大厦1801</t>
  </si>
  <si>
    <t>联系人/职位：</t>
  </si>
  <si>
    <t>联系人：</t>
  </si>
  <si>
    <t xml:space="preserve">电话/分机： </t>
  </si>
  <si>
    <t>电话：</t>
  </si>
  <si>
    <t>Email：</t>
  </si>
  <si>
    <t>起运港</t>
  </si>
  <si>
    <t>深圳</t>
  </si>
  <si>
    <t>中转港</t>
  </si>
  <si>
    <t>目的港</t>
  </si>
  <si>
    <t>SYD海外仓</t>
  </si>
  <si>
    <t>船名航次</t>
  </si>
  <si>
    <t>提单号</t>
  </si>
  <si>
    <t>柜号</t>
  </si>
  <si>
    <t>费用项目</t>
  </si>
  <si>
    <t>币别</t>
  </si>
  <si>
    <t>金额</t>
  </si>
  <si>
    <t>说明</t>
  </si>
  <si>
    <t>Container loading fee/装箱费</t>
  </si>
  <si>
    <t>RMB</t>
  </si>
  <si>
    <t>customs clearance fee/报关费</t>
  </si>
  <si>
    <t>Maritime declaration fee/海事申报费</t>
  </si>
  <si>
    <t>不确定项</t>
  </si>
  <si>
    <t>400/个un</t>
  </si>
  <si>
    <t>supervision fee for loading/危险品监装费</t>
  </si>
  <si>
    <t>低消1500，超出550/小时</t>
  </si>
  <si>
    <t>container stuffing charge/提箱费</t>
  </si>
  <si>
    <t>RMB合计</t>
  </si>
  <si>
    <t>B/L surrender fee/电放费</t>
  </si>
  <si>
    <t>Sealing fee/封条费</t>
  </si>
  <si>
    <t>THC/码头操作费</t>
  </si>
  <si>
    <t>DOC/文件</t>
  </si>
  <si>
    <t>ocean freight/海运费</t>
  </si>
  <si>
    <t>USD</t>
  </si>
  <si>
    <t>20GP</t>
  </si>
  <si>
    <t>码头杂费</t>
  </si>
  <si>
    <t>AUD</t>
  </si>
  <si>
    <t>DOC/文件费</t>
  </si>
  <si>
    <t>Custom Clearance清关费+税金</t>
  </si>
  <si>
    <t>税金实报实销</t>
  </si>
  <si>
    <t>Devanning/拆柜</t>
  </si>
  <si>
    <t>Delivery fee/派送费</t>
  </si>
  <si>
    <t xml:space="preserve">PS:如果遇到海关查验，查验费用实报实销
</t>
  </si>
  <si>
    <t>美金/澳币兑换人民币汇率</t>
  </si>
  <si>
    <t>参考即时汇率</t>
  </si>
  <si>
    <t>总合计</t>
  </si>
  <si>
    <t>不包含不确定项</t>
  </si>
  <si>
    <t>备注：2620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</si>
</sst>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5" formatCode="&quot;￥&quot;#,##0;&quot;￥&quot;\-#,##0"/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$#,##0.00;\-\$#,##0.00"/>
  </numFmts>
  <fonts count="30">
    <font>
      <sz val="11"/>
      <color theme="1"/>
      <name val="等线"/>
      <charset val="134"/>
      <scheme val="minor"/>
    </font>
    <font>
      <b/>
      <sz val="18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sz val="20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Font="1" applyBorder="1"/>
    <xf numFmtId="0" fontId="0" fillId="0" borderId="0" xfId="0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8" xfId="0" applyNumberFormat="1" applyFont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/>
    <xf numFmtId="176" fontId="2" fillId="0" borderId="8" xfId="0" applyNumberFormat="1" applyFont="1" applyBorder="1" applyAlignment="1">
      <alignment horizontal="center" vertical="center"/>
    </xf>
    <xf numFmtId="5" fontId="4" fillId="0" borderId="8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7" fontId="4" fillId="0" borderId="8" xfId="0" applyNumberFormat="1" applyFont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177" fontId="4" fillId="0" borderId="8" xfId="0" applyNumberFormat="1" applyFont="1" applyBorder="1" applyAlignment="1">
      <alignment vertical="center"/>
    </xf>
    <xf numFmtId="0" fontId="5" fillId="0" borderId="9" xfId="0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7" fontId="8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10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3"/>
  <sheetViews>
    <sheetView tabSelected="1" workbookViewId="0">
      <selection activeCell="O15" sqref="O15"/>
    </sheetView>
  </sheetViews>
  <sheetFormatPr defaultColWidth="9" defaultRowHeight="16.8"/>
  <cols>
    <col min="6" max="6" width="33.3303571428571" customWidth="1"/>
    <col min="7" max="7" width="11.1607142857143" customWidth="1"/>
    <col min="9" max="9" width="24.0982142857143" customWidth="1"/>
    <col min="10" max="10" width="34.6696428571429" customWidth="1"/>
    <col min="12" max="12" width="13.375" customWidth="1"/>
    <col min="13" max="13" width="13.125" customWidth="1"/>
  </cols>
  <sheetData>
    <row r="2" ht="26" spans="2:13">
      <c r="B2" s="1" t="s">
        <v>0</v>
      </c>
      <c r="C2" s="2"/>
      <c r="D2" s="2"/>
      <c r="E2" s="2"/>
      <c r="F2" s="2"/>
      <c r="G2" s="2"/>
      <c r="H2" s="2"/>
      <c r="I2" s="2"/>
      <c r="J2" s="3"/>
    </row>
    <row r="3" ht="26" spans="2:13">
      <c r="B3" s="4" t="s">
        <v>1</v>
      </c>
      <c r="C3" s="5"/>
      <c r="D3" s="5"/>
      <c r="E3" s="5"/>
      <c r="F3" s="5"/>
      <c r="G3" s="5"/>
      <c r="H3" s="5"/>
      <c r="I3" s="5"/>
      <c r="J3" s="6"/>
    </row>
    <row r="4" ht="17.6" spans="2:13">
      <c r="B4" s="7" t="s">
        <v>2</v>
      </c>
      <c r="C4" s="8" t="s">
        <v>3</v>
      </c>
      <c r="D4" s="9"/>
      <c r="E4" s="9"/>
      <c r="F4" s="10"/>
      <c r="G4" s="7" t="s">
        <v>4</v>
      </c>
      <c r="H4" s="11">
        <v>46137</v>
      </c>
      <c r="I4" s="9"/>
      <c r="J4" s="10"/>
    </row>
    <row r="5" ht="17.6" spans="2:13">
      <c r="B5" s="12" t="s">
        <v>5</v>
      </c>
      <c r="C5" s="13"/>
      <c r="D5" s="14"/>
      <c r="E5" s="14"/>
      <c r="F5" s="15"/>
      <c r="G5" s="16" t="s">
        <v>6</v>
      </c>
      <c r="H5" s="17"/>
      <c r="I5" s="17"/>
      <c r="J5" s="18"/>
    </row>
    <row r="6" ht="17.6" spans="2:13">
      <c r="B6" s="12" t="s">
        <v>7</v>
      </c>
      <c r="C6" s="13"/>
      <c r="D6" s="14"/>
      <c r="E6" s="14"/>
      <c r="F6" s="15"/>
      <c r="G6" s="16" t="s">
        <v>8</v>
      </c>
      <c r="H6" s="17"/>
      <c r="I6" s="17"/>
      <c r="J6" s="18"/>
    </row>
    <row r="7" ht="17.6" spans="2:13">
      <c r="B7" s="12" t="s">
        <v>9</v>
      </c>
      <c r="C7" s="13"/>
      <c r="D7" s="14"/>
      <c r="E7" s="14"/>
      <c r="F7" s="15"/>
      <c r="G7" s="16" t="s">
        <v>10</v>
      </c>
      <c r="H7" s="17"/>
      <c r="I7" s="17"/>
      <c r="J7" s="18"/>
    </row>
    <row r="8" ht="17.6" spans="2:13">
      <c r="B8" s="12" t="s">
        <v>11</v>
      </c>
      <c r="C8" s="13"/>
      <c r="D8" s="14"/>
      <c r="E8" s="14"/>
      <c r="F8" s="15"/>
      <c r="G8" s="16" t="s">
        <v>11</v>
      </c>
      <c r="H8" s="17"/>
      <c r="I8" s="17"/>
      <c r="J8" s="18"/>
    </row>
    <row r="9" ht="17.6" spans="2:13">
      <c r="B9" s="19" t="s">
        <v>12</v>
      </c>
      <c r="C9" s="20" t="s">
        <v>13</v>
      </c>
      <c r="D9" s="14"/>
      <c r="E9" s="14"/>
      <c r="F9" s="15"/>
      <c r="G9" s="19" t="s">
        <v>14</v>
      </c>
      <c r="H9" s="21"/>
      <c r="I9" s="21"/>
      <c r="J9" s="22"/>
    </row>
    <row r="10" ht="17.6" spans="2:13">
      <c r="B10" s="19" t="s">
        <v>15</v>
      </c>
      <c r="C10" s="13" t="s">
        <v>16</v>
      </c>
      <c r="D10" s="14"/>
      <c r="E10" s="14"/>
      <c r="F10" s="15"/>
      <c r="G10" s="19" t="s">
        <v>17</v>
      </c>
      <c r="H10" s="13"/>
      <c r="I10" s="14"/>
      <c r="J10" s="15"/>
      <c r="L10" s="23"/>
      <c r="M10" s="23"/>
    </row>
    <row r="11" ht="17.6" spans="2:13">
      <c r="B11" s="24" t="s">
        <v>18</v>
      </c>
      <c r="C11" s="24"/>
      <c r="D11" s="24" t="s">
        <v>19</v>
      </c>
      <c r="E11" s="24"/>
      <c r="F11" s="25" t="s">
        <v>20</v>
      </c>
      <c r="G11" s="25"/>
      <c r="H11" s="25" t="s">
        <v>21</v>
      </c>
      <c r="I11" s="24" t="s">
        <v>22</v>
      </c>
      <c r="J11" s="25" t="s">
        <v>23</v>
      </c>
      <c r="L11" s="26"/>
      <c r="M11" s="26"/>
    </row>
    <row r="12" ht="17.6" spans="2:13">
      <c r="B12" s="27"/>
      <c r="C12" s="27"/>
      <c r="D12" s="27"/>
      <c r="E12" s="27"/>
      <c r="F12" s="12" t="s">
        <v>24</v>
      </c>
      <c r="G12" s="27"/>
      <c r="H12" s="27" t="s">
        <v>25</v>
      </c>
      <c r="I12" s="28">
        <v>800</v>
      </c>
      <c r="J12" s="12"/>
      <c r="L12" s="29"/>
      <c r="M12" s="29"/>
    </row>
    <row r="13" ht="17.6" spans="2:13">
      <c r="B13" s="27"/>
      <c r="C13" s="27"/>
      <c r="D13" s="27"/>
      <c r="E13" s="27"/>
      <c r="F13" s="30" t="s">
        <v>26</v>
      </c>
      <c r="G13" s="30"/>
      <c r="H13" s="27" t="s">
        <v>25</v>
      </c>
      <c r="I13" s="28">
        <v>500</v>
      </c>
      <c r="J13" s="12"/>
      <c r="L13" s="29"/>
      <c r="M13" s="29"/>
    </row>
    <row r="14" ht="17.6" spans="2:13">
      <c r="B14" s="27"/>
      <c r="C14" s="27"/>
      <c r="D14" s="27"/>
      <c r="E14" s="27"/>
      <c r="F14" s="30" t="s">
        <v>27</v>
      </c>
      <c r="G14" s="30"/>
      <c r="H14" s="27" t="s">
        <v>25</v>
      </c>
      <c r="I14" s="31" t="s">
        <v>28</v>
      </c>
      <c r="J14" s="32" t="s">
        <v>29</v>
      </c>
      <c r="L14" s="29"/>
      <c r="M14" s="29"/>
    </row>
    <row r="15" ht="17.6" spans="2:13">
      <c r="B15" s="27"/>
      <c r="C15" s="27"/>
      <c r="D15" s="27"/>
      <c r="E15" s="27"/>
      <c r="F15" s="30" t="s">
        <v>30</v>
      </c>
      <c r="G15" s="30"/>
      <c r="H15" s="27" t="s">
        <v>25</v>
      </c>
      <c r="I15" s="28" t="s">
        <v>28</v>
      </c>
      <c r="J15" s="12" t="s">
        <v>31</v>
      </c>
      <c r="L15" s="29"/>
      <c r="M15" s="29"/>
    </row>
    <row r="16" ht="17.6" spans="2:13">
      <c r="B16" s="27"/>
      <c r="C16" s="27"/>
      <c r="D16" s="27"/>
      <c r="E16" s="27"/>
      <c r="F16" s="12" t="s">
        <v>32</v>
      </c>
      <c r="G16" s="14"/>
      <c r="H16" s="27" t="s">
        <v>25</v>
      </c>
      <c r="I16" s="28">
        <v>2000</v>
      </c>
      <c r="J16" s="12"/>
      <c r="L16" s="29"/>
      <c r="M16" s="29"/>
    </row>
    <row r="17" ht="20.4" spans="2:13">
      <c r="B17" s="27"/>
      <c r="C17" s="27"/>
      <c r="D17" s="27"/>
      <c r="E17" s="27"/>
      <c r="F17" s="13" t="s">
        <v>33</v>
      </c>
      <c r="G17" s="14"/>
      <c r="H17" s="15"/>
      <c r="I17" s="33">
        <f>I12+I13+I16</f>
        <v>3300</v>
      </c>
      <c r="J17" s="12"/>
      <c r="L17" s="29"/>
      <c r="M17" s="29"/>
    </row>
    <row r="18" ht="17.6" spans="2:13">
      <c r="B18" s="27"/>
      <c r="C18" s="27"/>
      <c r="D18" s="27"/>
      <c r="E18" s="27"/>
      <c r="F18" s="12" t="s">
        <v>34</v>
      </c>
      <c r="G18" s="27"/>
      <c r="H18" s="27" t="s">
        <v>25</v>
      </c>
      <c r="I18" s="28">
        <v>450</v>
      </c>
      <c r="J18" s="12"/>
      <c r="L18" s="29"/>
      <c r="M18" s="29"/>
    </row>
    <row r="19" ht="17.6" spans="2:13">
      <c r="B19" s="27"/>
      <c r="C19" s="27"/>
      <c r="D19" s="27"/>
      <c r="E19" s="27"/>
      <c r="F19" s="12" t="s">
        <v>35</v>
      </c>
      <c r="G19" s="27"/>
      <c r="H19" s="27" t="s">
        <v>25</v>
      </c>
      <c r="I19" s="28">
        <v>50</v>
      </c>
      <c r="J19" s="34"/>
      <c r="L19" s="29"/>
      <c r="M19" s="29"/>
    </row>
    <row r="20" ht="17.6" spans="2:13">
      <c r="B20" s="27"/>
      <c r="C20" s="27"/>
      <c r="D20" s="27"/>
      <c r="E20" s="27"/>
      <c r="F20" s="12" t="s">
        <v>36</v>
      </c>
      <c r="G20" s="27"/>
      <c r="H20" s="27" t="s">
        <v>25</v>
      </c>
      <c r="I20" s="28">
        <v>900</v>
      </c>
      <c r="J20" s="34"/>
      <c r="L20" s="29"/>
      <c r="M20" s="29"/>
    </row>
    <row r="21" ht="17.6" spans="2:13">
      <c r="B21" s="27"/>
      <c r="C21" s="27"/>
      <c r="D21" s="27"/>
      <c r="E21" s="27"/>
      <c r="F21" s="12" t="s">
        <v>37</v>
      </c>
      <c r="G21" s="27"/>
      <c r="H21" s="27" t="s">
        <v>25</v>
      </c>
      <c r="I21" s="28">
        <v>450</v>
      </c>
      <c r="J21" s="34"/>
      <c r="L21" s="29"/>
      <c r="M21" s="29"/>
    </row>
    <row r="22" ht="17.6" spans="2:13">
      <c r="B22" s="27"/>
      <c r="C22" s="27"/>
      <c r="D22" s="27"/>
      <c r="E22" s="27"/>
      <c r="F22" s="12" t="s">
        <v>38</v>
      </c>
      <c r="G22" s="27"/>
      <c r="H22" s="27" t="s">
        <v>39</v>
      </c>
      <c r="I22" s="28">
        <v>1750</v>
      </c>
      <c r="J22" s="34" t="s">
        <v>40</v>
      </c>
      <c r="L22" s="29"/>
      <c r="M22" s="29"/>
    </row>
    <row r="23" ht="20.4" spans="2:13">
      <c r="B23" s="27"/>
      <c r="C23" s="27"/>
      <c r="D23" s="27"/>
      <c r="E23" s="27"/>
      <c r="F23" s="13" t="s">
        <v>33</v>
      </c>
      <c r="G23" s="14"/>
      <c r="H23" s="35"/>
      <c r="I23" s="36">
        <f>I18+I19+I20+I21+I22*7.2</f>
        <v>14450</v>
      </c>
      <c r="J23" s="12"/>
      <c r="L23" s="29"/>
      <c r="M23" s="29"/>
    </row>
    <row r="24" ht="17.6" spans="2:13">
      <c r="B24" s="27"/>
      <c r="C24" s="27"/>
      <c r="D24" s="27"/>
      <c r="E24" s="27"/>
      <c r="F24" s="13" t="s">
        <v>41</v>
      </c>
      <c r="G24" s="12"/>
      <c r="H24" s="27" t="s">
        <v>42</v>
      </c>
      <c r="I24" s="12">
        <v>850</v>
      </c>
      <c r="J24" s="12"/>
      <c r="L24" s="29"/>
      <c r="M24" s="29"/>
    </row>
    <row r="25" ht="17.6" spans="2:13">
      <c r="B25" s="27"/>
      <c r="C25" s="27"/>
      <c r="D25" s="27"/>
      <c r="E25" s="27"/>
      <c r="F25" s="27" t="s">
        <v>43</v>
      </c>
      <c r="G25" s="27"/>
      <c r="H25" s="27" t="s">
        <v>42</v>
      </c>
      <c r="I25" s="12">
        <v>300</v>
      </c>
      <c r="J25" s="12"/>
      <c r="L25" s="29"/>
      <c r="M25" s="29"/>
    </row>
    <row r="26" ht="17.6" spans="2:13">
      <c r="B26" s="27"/>
      <c r="C26" s="27"/>
      <c r="D26" s="27"/>
      <c r="E26" s="27"/>
      <c r="F26" s="13" t="s">
        <v>44</v>
      </c>
      <c r="G26" s="27"/>
      <c r="H26" s="27" t="s">
        <v>42</v>
      </c>
      <c r="I26" s="12">
        <v>180</v>
      </c>
      <c r="J26" s="12" t="s">
        <v>45</v>
      </c>
      <c r="L26" s="29"/>
      <c r="M26" s="29"/>
    </row>
    <row r="27" ht="17.6" spans="2:13">
      <c r="B27" s="27"/>
      <c r="C27" s="27"/>
      <c r="D27" s="27"/>
      <c r="E27" s="27"/>
      <c r="F27" s="13" t="s">
        <v>46</v>
      </c>
      <c r="G27" s="27"/>
      <c r="H27" s="27" t="s">
        <v>42</v>
      </c>
      <c r="I27" s="12"/>
      <c r="J27" s="12"/>
      <c r="L27" s="29"/>
      <c r="M27" s="29"/>
    </row>
    <row r="28" ht="17.6" spans="2:13">
      <c r="B28" s="27"/>
      <c r="C28" s="27"/>
      <c r="D28" s="27"/>
      <c r="E28" s="27"/>
      <c r="F28" s="13" t="s">
        <v>47</v>
      </c>
      <c r="G28" s="27"/>
      <c r="H28" s="27" t="s">
        <v>42</v>
      </c>
      <c r="I28" s="12">
        <v>1100</v>
      </c>
      <c r="J28" s="37"/>
      <c r="L28" s="29"/>
      <c r="M28" s="29"/>
    </row>
    <row r="29" ht="20.4" spans="2:13">
      <c r="B29" s="27"/>
      <c r="C29" s="27"/>
      <c r="D29" s="27"/>
      <c r="E29" s="27"/>
      <c r="F29" s="13" t="s">
        <v>33</v>
      </c>
      <c r="G29" s="14"/>
      <c r="H29" s="35"/>
      <c r="I29" s="38">
        <f>(I28+I27+I26+I25+I24)*4.9</f>
        <v>11907</v>
      </c>
      <c r="J29" s="12"/>
      <c r="L29" s="29"/>
      <c r="M29" s="29"/>
    </row>
    <row r="30" ht="53" spans="2:13">
      <c r="B30" s="27"/>
      <c r="C30" s="27"/>
      <c r="D30" s="27"/>
      <c r="E30" s="27"/>
      <c r="F30" s="39" t="s">
        <v>48</v>
      </c>
      <c r="G30" s="14"/>
      <c r="H30" s="35"/>
      <c r="I30" s="40"/>
      <c r="J30" s="12"/>
      <c r="L30" s="29"/>
      <c r="M30" s="29"/>
    </row>
    <row r="31" ht="15" customHeight="1" spans="2:13">
      <c r="B31" s="27"/>
      <c r="C31" s="27"/>
      <c r="D31" s="27"/>
      <c r="E31" s="27"/>
      <c r="F31" s="13" t="s">
        <v>49</v>
      </c>
      <c r="G31" s="14"/>
      <c r="H31" s="15"/>
      <c r="I31" s="27"/>
      <c r="J31" s="19" t="s">
        <v>50</v>
      </c>
      <c r="L31" s="29"/>
      <c r="M31" s="29"/>
    </row>
    <row r="32" ht="37" customHeight="1" spans="2:13">
      <c r="B32" s="41"/>
      <c r="C32" s="41"/>
      <c r="D32" s="41"/>
      <c r="E32" s="41"/>
      <c r="F32" s="42" t="s">
        <v>51</v>
      </c>
      <c r="G32" s="43"/>
      <c r="H32" s="44"/>
      <c r="I32" s="45">
        <f>I17+I23+I29</f>
        <v>29657</v>
      </c>
      <c r="J32" s="46" t="s">
        <v>52</v>
      </c>
      <c r="L32" s="47"/>
      <c r="M32" s="47"/>
    </row>
    <row r="33" ht="30" customHeight="1" spans="2:10">
      <c r="B33" s="48" t="s">
        <v>53</v>
      </c>
      <c r="C33" s="49"/>
      <c r="D33" s="49"/>
      <c r="E33" s="49"/>
      <c r="F33" s="49"/>
      <c r="G33" s="49"/>
      <c r="H33" s="49"/>
      <c r="I33" s="49"/>
      <c r="J33" s="49"/>
    </row>
  </sheetData>
  <mergeCells count="23">
    <mergeCell ref="B2:J2"/>
    <mergeCell ref="B3:J3"/>
    <mergeCell ref="C4:F4"/>
    <mergeCell ref="H4:J4"/>
    <mergeCell ref="C5:F5"/>
    <mergeCell ref="G5:J5"/>
    <mergeCell ref="C6:F6"/>
    <mergeCell ref="G6:J6"/>
    <mergeCell ref="C7:F7"/>
    <mergeCell ref="G7:J7"/>
    <mergeCell ref="C8:F8"/>
    <mergeCell ref="G8:J8"/>
    <mergeCell ref="C9:F9"/>
    <mergeCell ref="C10:F10"/>
    <mergeCell ref="H10:J10"/>
    <mergeCell ref="B11:C11"/>
    <mergeCell ref="D11:E11"/>
    <mergeCell ref="F17:H17"/>
    <mergeCell ref="F23:H23"/>
    <mergeCell ref="F29:H29"/>
    <mergeCell ref="F31:H31"/>
    <mergeCell ref="F32:H32"/>
    <mergeCell ref="B33:J3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</cp:lastModifiedBy>
  <dcterms:created xsi:type="dcterms:W3CDTF">2015-06-07T10:19:00Z</dcterms:created>
  <dcterms:modified xsi:type="dcterms:W3CDTF">2026-04-25T18:20:54Z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D172DB6DC31E44329433FD4733DB5546_13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